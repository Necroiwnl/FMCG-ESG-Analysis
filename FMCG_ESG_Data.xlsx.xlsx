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ndro\OneDrive\Desktop\ESG_FMCG_Project\02_Data\"/>
    </mc:Choice>
  </mc:AlternateContent>
  <xr:revisionPtr revIDLastSave="0" documentId="13_ncr:1_{AF69C08C-6B42-490A-B03F-1458D93239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4" i="1"/>
  <c r="G6" i="1"/>
  <c r="G5" i="1"/>
  <c r="G4" i="1"/>
</calcChain>
</file>

<file path=xl/sharedStrings.xml><?xml version="1.0" encoding="utf-8"?>
<sst xmlns="http://schemas.openxmlformats.org/spreadsheetml/2006/main" count="27" uniqueCount="20">
  <si>
    <t>Company Name</t>
  </si>
  <si>
    <t>Fiscal Year</t>
  </si>
  <si>
    <t>Total Revenue (₹ Cr)</t>
  </si>
  <si>
    <t>Plastic Packaging Used (Tonnes)</t>
  </si>
  <si>
    <t>Plastic Waste Processed (Tonnes)</t>
  </si>
  <si>
    <t>Source Document</t>
  </si>
  <si>
    <t>Dabur</t>
  </si>
  <si>
    <t>2024-2025</t>
  </si>
  <si>
    <t>Not Disclosed</t>
  </si>
  <si>
    <t>ITC</t>
  </si>
  <si>
    <t>ITC_Annual_Report_2025</t>
  </si>
  <si>
    <t>Dabur_Annual_Report_2025</t>
  </si>
  <si>
    <t>Nestle</t>
  </si>
  <si>
    <t>Nestle_Annual_Report_2025</t>
  </si>
  <si>
    <t>HUL_Annual_Report_2025</t>
  </si>
  <si>
    <t>HUL</t>
  </si>
  <si>
    <t>Britannia_Annual_Report_2025</t>
  </si>
  <si>
    <t>Plastic Intensity (g / ₹ Cr)</t>
  </si>
  <si>
    <t>Circularity Gap (%)</t>
  </si>
  <si>
    <t>Britannia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</si>
</sst>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B1C1D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Font="1"/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G7" sqref="G7"/>
    </sheetView>
  </sheetViews>
  <sheetFormatPr defaultRowHeight="14.5" x14ac:dyDescent="0.35"/>
  <cols>
    <col min="1" max="1" width="17.81640625" customWidth="1"/>
    <col min="2" max="2" width="11.90625" customWidth="1"/>
    <col min="3" max="3" width="15.36328125" customWidth="1"/>
    <col min="4" max="4" width="18.36328125" customWidth="1"/>
    <col min="5" max="5" width="22.54296875" customWidth="1"/>
    <col min="6" max="6" width="26.6328125" customWidth="1"/>
    <col min="7" max="7" width="23.81640625" customWidth="1"/>
    <col min="8" max="8" width="18.6328125" customWidth="1"/>
  </cols>
  <sheetData>
    <row r="1" spans="1:8" ht="28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17</v>
      </c>
      <c r="H1" s="6" t="s">
        <v>18</v>
      </c>
    </row>
    <row r="2" spans="1:8" x14ac:dyDescent="0.35">
      <c r="A2" t="s">
        <v>6</v>
      </c>
      <c r="B2" t="s">
        <v>7</v>
      </c>
      <c r="C2" s="3">
        <v>13113.19</v>
      </c>
      <c r="D2" s="4" t="s">
        <v>8</v>
      </c>
      <c r="E2" s="2">
        <v>42525</v>
      </c>
      <c r="F2" t="s">
        <v>11</v>
      </c>
    </row>
    <row r="3" spans="1:8" x14ac:dyDescent="0.35">
      <c r="A3" t="s">
        <v>9</v>
      </c>
      <c r="B3" t="s">
        <v>7</v>
      </c>
      <c r="C3" s="3">
        <v>81612.78</v>
      </c>
      <c r="D3" s="4" t="s">
        <v>8</v>
      </c>
      <c r="E3" s="4" t="s">
        <v>8</v>
      </c>
      <c r="F3" t="s">
        <v>10</v>
      </c>
    </row>
    <row r="4" spans="1:8" x14ac:dyDescent="0.35">
      <c r="A4" t="s">
        <v>12</v>
      </c>
      <c r="B4" t="s">
        <v>7</v>
      </c>
      <c r="C4" s="3">
        <v>20201.560000000001</v>
      </c>
      <c r="D4" s="2">
        <v>2657</v>
      </c>
      <c r="E4" s="2">
        <v>71617</v>
      </c>
      <c r="F4" t="s">
        <v>13</v>
      </c>
      <c r="G4" s="7">
        <f>(D4*1000000)/C4</f>
        <v>131524.4961280218</v>
      </c>
      <c r="H4" s="7">
        <f>(1-(E4/D4))*100</f>
        <v>-2595.4083552879188</v>
      </c>
    </row>
    <row r="5" spans="1:8" x14ac:dyDescent="0.35">
      <c r="A5" t="s">
        <v>15</v>
      </c>
      <c r="B5" t="s">
        <v>7</v>
      </c>
      <c r="C5" s="5">
        <v>63121</v>
      </c>
      <c r="D5" s="2">
        <v>12531</v>
      </c>
      <c r="E5" s="5">
        <v>90478</v>
      </c>
      <c r="F5" t="s">
        <v>14</v>
      </c>
      <c r="G5" s="7">
        <f>(D5*1000000)/C5</f>
        <v>198523.47079418894</v>
      </c>
      <c r="H5" s="7">
        <f t="shared" ref="H5:H6" si="0">(1-(E5/D5))*100</f>
        <v>-622.03335727396063</v>
      </c>
    </row>
    <row r="6" spans="1:8" x14ac:dyDescent="0.35">
      <c r="A6" t="s">
        <v>19</v>
      </c>
      <c r="B6" t="s">
        <v>7</v>
      </c>
      <c r="C6" s="3">
        <v>17535.02</v>
      </c>
      <c r="D6" s="2">
        <v>5057</v>
      </c>
      <c r="E6" s="4" t="s">
        <v>8</v>
      </c>
      <c r="F6" t="s">
        <v>16</v>
      </c>
      <c r="G6" s="7">
        <f>(D6*1000000)/C6</f>
        <v>288394.31035721657</v>
      </c>
      <c r="H6" s="7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Baishya</dc:creator>
  <cp:lastModifiedBy>Priyam Baishya</cp:lastModifiedBy>
  <dcterms:created xsi:type="dcterms:W3CDTF">2015-06-05T18:17:20Z</dcterms:created>
  <dcterms:modified xsi:type="dcterms:W3CDTF">2025-10-16T17:20:42Z</dcterms:modified>
</cp:coreProperties>
</file>